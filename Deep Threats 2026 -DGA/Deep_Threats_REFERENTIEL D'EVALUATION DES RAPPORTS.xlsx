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bie\Documents\CTF DGA 2026\RAPPORTS\"/>
    </mc:Choice>
  </mc:AlternateContent>
  <xr:revisionPtr revIDLastSave="0" documentId="13_ncr:1_{3468DC16-E673-4B75-80E4-45CD04653D17}" xr6:coauthVersionLast="47" xr6:coauthVersionMax="47" xr10:uidLastSave="{00000000-0000-0000-0000-000000000000}"/>
  <bookViews>
    <workbookView xWindow="-98" yWindow="-98" windowWidth="19396" windowHeight="11475" firstSheet="2" activeTab="6" xr2:uid="{00000000-000D-0000-FFFF-FFFF00000000}"/>
  </bookViews>
  <sheets>
    <sheet name="Synthèse" sheetId="1" r:id="rId1"/>
    <sheet name="A - Analyse" sheetId="2" r:id="rId2"/>
    <sheet name="B - Vulnérabilités" sheetId="3" r:id="rId3"/>
    <sheet name="C - Recommandations" sheetId="4" r:id="rId4"/>
    <sheet name="D - Qualité" sheetId="5" r:id="rId5"/>
    <sheet name="Malus" sheetId="6" r:id="rId6"/>
    <sheet name="Grille ju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3" i="7" s="1"/>
</calcChain>
</file>

<file path=xl/sharedStrings.xml><?xml version="1.0" encoding="utf-8"?>
<sst xmlns="http://schemas.openxmlformats.org/spreadsheetml/2006/main" count="121" uniqueCount="108">
  <si>
    <t>DEEP THREATS — Référentiel de notation du rapport final</t>
  </si>
  <si>
    <t>Conclusion maximale attendue : Marinatech n'est pas victime d'incidents indépendants, mais d'une stratégie coordonnée de captation technologique au bénéfice des intérêts du Lianhua. Elle combine influence doctrinale, coopération scientifique, dépendance à une ressource stratégique, pression sur des individus, manipulation informationnelle et prise de participation capitalistique. Hydronix constitue le principal bénéficiaire industriel de cet écosystème.</t>
  </si>
  <si>
    <t>POINT ANALYTIQUE MAJEUR : Wuan n'est pas le traître. Il est une victime de coercition.</t>
  </si>
  <si>
    <t>Partie</t>
  </si>
  <si>
    <t>Objet</t>
  </si>
  <si>
    <t>Points</t>
  </si>
  <si>
    <t>A</t>
  </si>
  <si>
    <t>Reconstitution et analyse de l'opération</t>
  </si>
  <si>
    <t>B</t>
  </si>
  <si>
    <t>Vulnérabilités de Marinatech</t>
  </si>
  <si>
    <t>C</t>
  </si>
  <si>
    <t>Recommandations</t>
  </si>
  <si>
    <t>D</t>
  </si>
  <si>
    <t>Qualité globale du rapport, présentation, orthographe</t>
  </si>
  <si>
    <t>TOTAL</t>
  </si>
  <si>
    <t>Les 36 flags mesurent la capacité à trouver de l'information ; le rapport mesure la capacité à faire du renseignement à partir de cette information.</t>
  </si>
  <si>
    <t>N°</t>
  </si>
  <si>
    <t>Élément analytique attendu</t>
  </si>
  <si>
    <t>Pts max</t>
  </si>
  <si>
    <t>Critères / éléments attendus</t>
  </si>
  <si>
    <t>Note attribuée</t>
  </si>
  <si>
    <t>Commentaires correcteur</t>
  </si>
  <si>
    <t>Vulnérabilité identifiée et expliquée</t>
  </si>
  <si>
    <t>Commentaires / preuve</t>
  </si>
  <si>
    <t>Domaine</t>
  </si>
  <si>
    <t>Exemples attendus</t>
  </si>
  <si>
    <t>Commentaires</t>
  </si>
  <si>
    <t>Critère</t>
  </si>
  <si>
    <t>Erreur</t>
  </si>
  <si>
    <t>Malus de référence</t>
  </si>
  <si>
    <t>Malus appliqué</t>
  </si>
  <si>
    <t>Commentaires / occurrence</t>
  </si>
  <si>
    <t>DEEP THREATS — Grille de correction jury</t>
  </si>
  <si>
    <t>Équipe</t>
  </si>
  <si>
    <t>Maximum</t>
  </si>
  <si>
    <t>Note</t>
  </si>
  <si>
    <t>A. Analyse</t>
  </si>
  <si>
    <t>B. Vulnérabilités</t>
  </si>
  <si>
    <t>C. Recommandations</t>
  </si>
  <si>
    <t>D. Qualité</t>
  </si>
  <si>
    <t>Sous-total</t>
  </si>
  <si>
    <t>Malus</t>
  </si>
  <si>
    <t>NOTE FINALE</t>
  </si>
  <si>
    <t>Compréhension d’une opération globale coordonnée</t>
  </si>
  <si>
    <t>5 pts : démontre la convergence des événements et des leviers vers une stratégie coordonnée de captation. 2-3 pts : intuition juste mais articulation partielle. 0 pt : incidents traités indépendamment.</t>
  </si>
  <si>
    <t>Wuan est contraint, et non volontairement complice</t>
  </si>
  <si>
    <t>4 pts : coercition clairement démontrée ; Wuan qualifié comme victime/vecteur contraint. 2 pts : sérieux doutes sur sa culpabilité. 0 pt : agent volontaire sans traitement de la coercition.</t>
  </si>
  <si>
    <t>Rôle délibéré de Zhou dans la fragilisation du programme et la captation technologique</t>
  </si>
  <si>
    <t>Relier la suggestion du TBT à Wuan, ses conséquences réglementaires et le retard/fragilisation du projet, puis la demande de formule alternative, la coercition après le refus et le dépôt LPDC. Ne pas exiger l’attribution directe à Zhou de la fuite informationnelle.</t>
  </si>
  <si>
    <t>Le dépôt LPDC matérialise la captation de la technologie Marinatech</t>
  </si>
  <si>
    <t>Relier technologie développée en France, Wuan/Zhou et dépôt LUMS du 5 septembre 2026 : appropriation d’un résultat issu du programme Marinatech.</t>
  </si>
  <si>
    <t>Hydronix et le LORII s’inscrivent dans l’écosystème de captation</t>
  </si>
  <si>
    <t>Relation Hydronix–Marinatech antérieure ; LORII ; articulation recherche/industrie et intérêt technologique. Ne pas exiger qu’Hydronix soit présenté comme commanditaire démontré de chaque action.</t>
  </si>
  <si>
    <t>Aquaventis constitue un véhicule structuré et reproductible de pénétration capitalistique</t>
  </si>
  <si>
    <t>6 pts : comprend création/fonction, rabattage, prises de participation et transferts vers des structures liées à Hydronix/Lianhua. 3-4 pts : comprend le montage mais pas son caractère reproductible. 1-2 pts : relève seulement un actionnariat problématique.</t>
  </si>
  <si>
    <t>Marinatech s’inscrit dans un ciblage plus large d’entreprises technologiques européennes</t>
  </si>
  <si>
    <t>Identifier le portefeuille et les autres cibles comme indice d’un mode opératoire plus large, sans affirmer sans preuve que toutes les entreprises sont compromises.</t>
  </si>
  <si>
    <t>Le réseau humain relie capital, influence et structures lianhuanaises</t>
  </si>
  <si>
    <t>Exploiter analytiquement les liens Cheryl/Jérôme/Karen et les autres relations pertinentes. Une simple restitution généalogique ne suffit pas.</t>
  </si>
  <si>
    <t>La campagne informationnelle contre Marinatech n’est pas spontanée</t>
  </si>
  <si>
    <t>Relier TBT, publication de Tanguy, financement/commanditation et intérêts de Lotus/Lianhua ; comprendre la pression réputationnelle comme levier complémentaire.</t>
  </si>
  <si>
    <t>La coercition/intimidation autour d’Enzo est reliée à l’écosystème adverse</t>
  </si>
  <si>
    <t>Relier menace, éléments techniques et liens avec Chen/Lotus/Lianhua, en distinguant faits établis et attribution probable.</t>
  </si>
  <si>
    <t>Institut Lotus, doctrine Lantrium et cadre politique/juridique forment un continuum d’influence</t>
  </si>
  <si>
    <t>Relier production doctrinale, relais institutionnels, souveraineté sur le Lantrium, loi/contrôle export et intérêt stratégique.</t>
  </si>
  <si>
    <t>Finalité stratégique : captation technologique, dépendance et enjeu de souveraineté</t>
  </si>
  <si>
    <t>Comprendre la combinaison captation technologique + dépendance au Lantrium + intérêt industriel/naval et ses conséquences pour Marinatech et la BITD française.</t>
  </si>
  <si>
    <t>TOTAL A</t>
  </si>
  <si>
    <t>Due diligence insuffisante sur Aquaventis, son financement, son actionnariat et ses bénéficiaires réels</t>
  </si>
  <si>
    <t>Gouvernance capitalistique insuffisamment protectrice : prise de participation, cession/changement de contrôle et accès associé à l’actionnariat</t>
  </si>
  <si>
    <t>Encadrement insuffisant de la CIFRE, des collaborations scientifiques et des accès aux informations sensibles</t>
  </si>
  <si>
    <t>Protection insuffisante / retardée de la propriété intellectuelle</t>
  </si>
  <si>
    <t>Dépendance stratégique au Lantrium et maîtrise insuffisante du risque fournisseur/pays</t>
  </si>
  <si>
    <t>Protection des personnels et dispositif de remontée/traitement des alertes insuffisants</t>
  </si>
  <si>
    <t>Évaluation insuffisante du risque d’ingérence associé aux partenaires et environnements étrangers</t>
  </si>
  <si>
    <t>Absence de vision transverse permettant de corréler les signaux faibles</t>
  </si>
  <si>
    <t>TOTAL B</t>
  </si>
  <si>
    <t>Règle : aucun point pour une vulnérabilité générique non rattachée à un événement observé dans l’enquête.</t>
  </si>
  <si>
    <t>Gouvernance, capital et intelligence économique</t>
  </si>
  <si>
    <t>Due diligence renforcée ; bénéficiaires effectifs ; financements/liens étrangers ; clauses de cession/changement de contrôle ; suivi des partenaires ; saisine appropriée des autorités compétentes.</t>
  </si>
  <si>
    <t>Protection scientifique et propriété intellectuelle</t>
  </si>
  <si>
    <t>Compartimentage et besoin d’en connaître ; encadrement CIFRE/chercheurs extérieurs ; traçabilité des accès ; protection plus précoce ; réponse juridique et PI au dépôt LPDC.</t>
  </si>
  <si>
    <t>Ressources critiques et supply chain</t>
  </si>
  <si>
    <t>Diversification ; substituts ; stocks ; risque pays ; contrôle export ; réduction de la dépendance au Lantrium.</t>
  </si>
  <si>
    <t>Sécurité humaine et gestion de la coercition</t>
  </si>
  <si>
    <t>Canal sécurisé ; protection et accompagnement d’Enzo et Wuan ; procédure menace/coercition ; sensibilisation ; escalade claire.</t>
  </si>
  <si>
    <t>Veille, détection transverse, information et réputation</t>
  </si>
  <si>
    <t>Corrélation des signaux faibles ; veille ; réaction à campagne coordonnée ; conservation des preuves ; gestion de crise et coordination juridique/communication/sécurité.</t>
  </si>
  <si>
    <t>TOTAL C</t>
  </si>
  <si>
    <t>Distinction faits établis / hypothèses / éléments à confirmer</t>
  </si>
  <si>
    <t>Qualité du recoupement et de la démonstration</t>
  </si>
  <si>
    <t>Chronologie intelligible : frise, tableau ou reconstitution temporelle</t>
  </si>
  <si>
    <t>Structure, organisation et clarté du rapport</t>
  </si>
  <si>
    <t>Qualité rédactionnelle et lisibilité</t>
  </si>
  <si>
    <t>Qualité et pertinence des annexes, tableaux et représentations visuelles</t>
  </si>
  <si>
    <t>TOTAL D</t>
  </si>
  <si>
    <t>Présenter Wuan comme agent volontaire sans traiter les éléments manifestes de coercition</t>
  </si>
  <si>
    <t>-5</t>
  </si>
  <si>
    <t>Confondre à plusieurs reprises faits démontrés et hypothèses majeures</t>
  </si>
  <si>
    <t>jusqu’à -5</t>
  </si>
  <si>
    <t>Accuser formellement un acteur d’une action sans élément probant</t>
  </si>
  <si>
    <t>-2 par occurrence, max -6</t>
  </si>
  <si>
    <t>Inventer ou présenter comme découvert un fait absent des sources</t>
  </si>
  <si>
    <t>Recommandations génériques ou déconnectées de l’enquête</t>
  </si>
  <si>
    <t>Pas de malus ; 0 pt correspondant</t>
  </si>
  <si>
    <t>Règle : une même erreur ne doit pas être sanctionnée deux fois par deux malus différents. Une hypothèse explicitement qualifiée et prudemment étayée n’appelle pas de malus.</t>
  </si>
  <si>
    <t>TOTAL MALUS SAISI</t>
  </si>
  <si>
    <t>Commentaire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</si>
</sst>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2"/>
      <color rgb="FFC94C4C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C94C4C"/>
      <name val="Carlito"/>
    </font>
    <font>
      <b/>
      <sz val="13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4F8FB"/>
      </patternFill>
    </fill>
    <fill>
      <patternFill patternType="solid">
        <fgColor rgb="FFFCE8E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94C4C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5" borderId="0" xfId="0" applyFont="1" applyFill="1" applyAlignment="1">
      <alignment horizontal="center" wrapText="1"/>
    </xf>
    <xf numFmtId="0" fontId="4" fillId="6" borderId="0" xfId="0" applyFont="1" applyFill="1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5" fillId="4" borderId="0" xfId="0" applyFont="1" applyFill="1"/>
    <xf numFmtId="0" fontId="6" fillId="2" borderId="0" xfId="0" applyFont="1" applyFill="1"/>
    <xf numFmtId="0" fontId="4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0" borderId="0" xfId="0" applyFont="1"/>
    <xf numFmtId="0" fontId="0" fillId="8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/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6" workbookViewId="0">
      <selection activeCell="G9" sqref="G9"/>
    </sheetView>
  </sheetViews>
  <sheetFormatPr baseColWidth="10" defaultColWidth="9" defaultRowHeight="13.5"/>
  <cols>
    <col min="1" max="1" width="12" customWidth="1"/>
    <col min="2" max="2" width="48" customWidth="1"/>
    <col min="3" max="3" width="12" customWidth="1"/>
  </cols>
  <sheetData>
    <row r="1" spans="1:6" ht="20.65">
      <c r="A1" s="27" t="s">
        <v>0</v>
      </c>
      <c r="B1" s="27"/>
      <c r="C1" s="27"/>
      <c r="D1" s="27"/>
      <c r="E1" s="27"/>
      <c r="F1" s="27"/>
    </row>
    <row r="3" spans="1:6" s="20" customFormat="1" ht="48.4" customHeight="1">
      <c r="A3" s="28" t="s">
        <v>1</v>
      </c>
      <c r="B3" s="28"/>
      <c r="C3" s="28"/>
      <c r="D3" s="28"/>
      <c r="E3" s="28"/>
      <c r="F3" s="28"/>
    </row>
    <row r="4" spans="1:6">
      <c r="A4" s="28"/>
      <c r="B4" s="28"/>
      <c r="C4" s="28"/>
      <c r="D4" s="28"/>
      <c r="E4" s="28"/>
      <c r="F4" s="28"/>
    </row>
    <row r="5" spans="1:6">
      <c r="A5" s="28"/>
      <c r="B5" s="28"/>
      <c r="C5" s="28"/>
      <c r="D5" s="28"/>
      <c r="E5" s="28"/>
      <c r="F5" s="28"/>
    </row>
    <row r="7" spans="1:6">
      <c r="A7" s="29" t="s">
        <v>2</v>
      </c>
      <c r="B7" s="29"/>
      <c r="C7" s="29"/>
      <c r="D7" s="29"/>
      <c r="E7" s="29"/>
      <c r="F7" s="29"/>
    </row>
    <row r="8" spans="1:6">
      <c r="A8" s="29"/>
      <c r="B8" s="29"/>
      <c r="C8" s="29"/>
      <c r="D8" s="29"/>
      <c r="E8" s="29"/>
      <c r="F8" s="29"/>
    </row>
    <row r="10" spans="1:6" ht="13.9">
      <c r="A10" s="1" t="s">
        <v>3</v>
      </c>
      <c r="B10" s="1" t="s">
        <v>4</v>
      </c>
      <c r="C10" s="1" t="s">
        <v>5</v>
      </c>
    </row>
    <row r="11" spans="1:6">
      <c r="A11" t="s">
        <v>6</v>
      </c>
      <c r="B11" t="s">
        <v>7</v>
      </c>
      <c r="C11">
        <v>50</v>
      </c>
    </row>
    <row r="12" spans="1:6">
      <c r="A12" t="s">
        <v>8</v>
      </c>
      <c r="B12" t="s">
        <v>9</v>
      </c>
      <c r="C12">
        <v>20</v>
      </c>
    </row>
    <row r="13" spans="1:6">
      <c r="A13" t="s">
        <v>10</v>
      </c>
      <c r="B13" t="s">
        <v>11</v>
      </c>
      <c r="C13">
        <v>20</v>
      </c>
    </row>
    <row r="14" spans="1:6">
      <c r="A14" t="s">
        <v>12</v>
      </c>
      <c r="B14" t="s">
        <v>13</v>
      </c>
      <c r="C14">
        <v>10</v>
      </c>
    </row>
    <row r="15" spans="1:6" ht="13.9">
      <c r="A15" s="2" t="s">
        <v>14</v>
      </c>
      <c r="B15" s="2"/>
      <c r="C15" s="2">
        <v>100</v>
      </c>
    </row>
    <row r="17" spans="1:6" s="32" customFormat="1" ht="33.4" customHeight="1">
      <c r="A17" s="31" t="s">
        <v>15</v>
      </c>
      <c r="B17" s="31"/>
      <c r="C17" s="31"/>
      <c r="D17" s="31"/>
      <c r="E17" s="31"/>
      <c r="F17" s="31"/>
    </row>
  </sheetData>
  <mergeCells count="4">
    <mergeCell ref="A1:F1"/>
    <mergeCell ref="A3:F5"/>
    <mergeCell ref="A7:F8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opLeftCell="A10" workbookViewId="0">
      <selection activeCell="D18" sqref="D18"/>
    </sheetView>
  </sheetViews>
  <sheetFormatPr baseColWidth="10" defaultColWidth="9" defaultRowHeight="13.5"/>
  <cols>
    <col min="1" max="1" width="7" style="9" customWidth="1"/>
    <col min="2" max="2" width="40" style="12" customWidth="1"/>
    <col min="3" max="3" width="10" style="9" customWidth="1"/>
    <col min="4" max="4" width="72" style="9" customWidth="1"/>
    <col min="5" max="5" width="14" style="9" customWidth="1"/>
    <col min="6" max="6" width="42" style="9" customWidth="1"/>
    <col min="7" max="16384" width="9" style="9"/>
  </cols>
  <sheetData>
    <row r="1" spans="1:6" ht="13.9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ht="57" customHeight="1">
      <c r="A2" s="9">
        <v>1</v>
      </c>
      <c r="B2" s="12" t="s">
        <v>43</v>
      </c>
      <c r="C2" s="12">
        <v>5</v>
      </c>
      <c r="D2" s="12" t="s">
        <v>44</v>
      </c>
      <c r="E2" s="12"/>
      <c r="F2" s="12"/>
    </row>
    <row r="3" spans="1:6" ht="57" customHeight="1">
      <c r="A3" s="9">
        <v>2</v>
      </c>
      <c r="B3" s="12" t="s">
        <v>45</v>
      </c>
      <c r="C3" s="12">
        <v>4</v>
      </c>
      <c r="D3" s="12" t="s">
        <v>46</v>
      </c>
      <c r="E3" s="12"/>
      <c r="F3" s="12"/>
    </row>
    <row r="4" spans="1:6" ht="57" customHeight="1">
      <c r="A4" s="9">
        <v>3</v>
      </c>
      <c r="B4" s="12" t="s">
        <v>47</v>
      </c>
      <c r="C4" s="12">
        <v>5</v>
      </c>
      <c r="D4" s="12" t="s">
        <v>48</v>
      </c>
      <c r="E4" s="14"/>
      <c r="F4" s="12"/>
    </row>
    <row r="5" spans="1:6" ht="57" customHeight="1">
      <c r="A5" s="9">
        <v>4</v>
      </c>
      <c r="B5" s="12" t="s">
        <v>49</v>
      </c>
      <c r="C5" s="12">
        <v>4</v>
      </c>
      <c r="D5" s="12" t="s">
        <v>50</v>
      </c>
      <c r="E5" s="12"/>
      <c r="F5" s="12"/>
    </row>
    <row r="6" spans="1:6" ht="57" customHeight="1">
      <c r="A6" s="9">
        <v>5</v>
      </c>
      <c r="B6" s="12" t="s">
        <v>51</v>
      </c>
      <c r="C6" s="12">
        <v>4</v>
      </c>
      <c r="D6" s="12" t="s">
        <v>52</v>
      </c>
      <c r="E6" s="12"/>
      <c r="F6" s="12"/>
    </row>
    <row r="7" spans="1:6" ht="57" customHeight="1">
      <c r="A7" s="9">
        <v>6</v>
      </c>
      <c r="B7" s="12" t="s">
        <v>53</v>
      </c>
      <c r="C7" s="12">
        <v>6</v>
      </c>
      <c r="D7" s="12" t="s">
        <v>54</v>
      </c>
      <c r="E7" s="12"/>
      <c r="F7" s="12"/>
    </row>
    <row r="8" spans="1:6" ht="63.85" customHeight="1">
      <c r="A8" s="9">
        <v>7</v>
      </c>
      <c r="B8" s="12" t="s">
        <v>55</v>
      </c>
      <c r="C8" s="12">
        <v>3</v>
      </c>
      <c r="D8" s="12" t="s">
        <v>56</v>
      </c>
      <c r="E8" s="12"/>
      <c r="F8" s="12"/>
    </row>
    <row r="9" spans="1:6" ht="57" customHeight="1">
      <c r="A9" s="9">
        <v>8</v>
      </c>
      <c r="B9" s="12" t="s">
        <v>57</v>
      </c>
      <c r="C9" s="12">
        <v>4</v>
      </c>
      <c r="D9" s="12" t="s">
        <v>58</v>
      </c>
      <c r="E9" s="12"/>
      <c r="F9" s="12"/>
    </row>
    <row r="10" spans="1:6" ht="57" customHeight="1">
      <c r="A10" s="9">
        <v>9</v>
      </c>
      <c r="B10" s="12" t="s">
        <v>59</v>
      </c>
      <c r="C10" s="12">
        <v>4</v>
      </c>
      <c r="D10" s="12" t="s">
        <v>60</v>
      </c>
      <c r="E10" s="12"/>
      <c r="F10" s="12"/>
    </row>
    <row r="11" spans="1:6" ht="57" customHeight="1">
      <c r="A11" s="9">
        <v>10</v>
      </c>
      <c r="B11" s="12" t="s">
        <v>61</v>
      </c>
      <c r="C11" s="12">
        <v>3</v>
      </c>
      <c r="D11" s="12" t="s">
        <v>62</v>
      </c>
      <c r="E11" s="12"/>
      <c r="F11" s="12"/>
    </row>
    <row r="12" spans="1:6" ht="57" customHeight="1">
      <c r="A12" s="9">
        <v>11</v>
      </c>
      <c r="B12" s="12" t="s">
        <v>63</v>
      </c>
      <c r="C12" s="12">
        <v>4</v>
      </c>
      <c r="D12" s="12" t="s">
        <v>64</v>
      </c>
      <c r="E12" s="12"/>
      <c r="F12" s="12"/>
    </row>
    <row r="13" spans="1:6" ht="68.75" customHeight="1">
      <c r="A13" s="9">
        <v>12</v>
      </c>
      <c r="B13" s="12" t="s">
        <v>65</v>
      </c>
      <c r="C13" s="12">
        <v>4</v>
      </c>
      <c r="D13" s="12" t="s">
        <v>66</v>
      </c>
      <c r="E13" s="12"/>
      <c r="F13" s="12"/>
    </row>
    <row r="14" spans="1:6" ht="13.9">
      <c r="A14" s="21"/>
      <c r="B14" s="22" t="s">
        <v>67</v>
      </c>
      <c r="C14" s="22">
        <v>50</v>
      </c>
      <c r="D14" s="22"/>
      <c r="E14" s="22"/>
      <c r="F14" s="23"/>
    </row>
    <row r="15" spans="1:6" ht="13.9" customHeight="1">
      <c r="D15" s="12"/>
      <c r="E15" s="12"/>
      <c r="F15" s="12"/>
    </row>
    <row r="16" spans="1:6" ht="13.9">
      <c r="A16" s="16"/>
      <c r="B16" s="15"/>
      <c r="C16" s="16"/>
      <c r="D16" s="16"/>
      <c r="E16" s="16"/>
      <c r="F16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opLeftCell="A7" workbookViewId="0">
      <selection activeCell="A12" sqref="A12:E13"/>
    </sheetView>
  </sheetViews>
  <sheetFormatPr baseColWidth="10" defaultColWidth="9" defaultRowHeight="13.5"/>
  <cols>
    <col min="1" max="1" width="7" customWidth="1"/>
    <col min="2" max="2" width="72" customWidth="1"/>
    <col min="3" max="4" width="14" customWidth="1"/>
    <col min="5" max="5" width="42" customWidth="1"/>
  </cols>
  <sheetData>
    <row r="1" spans="1:5" ht="13.9">
      <c r="A1" s="3" t="s">
        <v>16</v>
      </c>
      <c r="B1" s="3" t="s">
        <v>22</v>
      </c>
      <c r="C1" s="3" t="s">
        <v>18</v>
      </c>
      <c r="D1" s="3" t="s">
        <v>20</v>
      </c>
      <c r="E1" s="3" t="s">
        <v>23</v>
      </c>
    </row>
    <row r="2" spans="1:5" s="9" customFormat="1" ht="67.900000000000006" customHeight="1">
      <c r="A2" s="9">
        <v>1</v>
      </c>
      <c r="B2" s="12" t="s">
        <v>68</v>
      </c>
      <c r="C2" s="12">
        <v>3</v>
      </c>
      <c r="D2" s="12"/>
      <c r="E2" s="12"/>
    </row>
    <row r="3" spans="1:5" s="9" customFormat="1" ht="67.900000000000006" customHeight="1">
      <c r="A3" s="9">
        <v>2</v>
      </c>
      <c r="B3" s="12" t="s">
        <v>69</v>
      </c>
      <c r="C3" s="12">
        <v>3</v>
      </c>
      <c r="D3" s="12"/>
      <c r="E3" s="12"/>
    </row>
    <row r="4" spans="1:5" s="9" customFormat="1" ht="67.900000000000006" customHeight="1">
      <c r="A4" s="9">
        <v>3</v>
      </c>
      <c r="B4" s="12" t="s">
        <v>70</v>
      </c>
      <c r="C4" s="12">
        <v>3</v>
      </c>
      <c r="D4" s="12"/>
      <c r="E4" s="12"/>
    </row>
    <row r="5" spans="1:5" s="9" customFormat="1" ht="67.900000000000006" customHeight="1">
      <c r="A5" s="9">
        <v>4</v>
      </c>
      <c r="B5" s="12" t="s">
        <v>71</v>
      </c>
      <c r="C5" s="12">
        <v>2</v>
      </c>
      <c r="D5" s="12"/>
      <c r="E5" s="12"/>
    </row>
    <row r="6" spans="1:5" s="9" customFormat="1" ht="67.900000000000006" customHeight="1">
      <c r="A6" s="9">
        <v>5</v>
      </c>
      <c r="B6" s="12" t="s">
        <v>72</v>
      </c>
      <c r="C6" s="12">
        <v>3</v>
      </c>
      <c r="D6" s="12"/>
      <c r="E6" s="12"/>
    </row>
    <row r="7" spans="1:5" s="9" customFormat="1" ht="67.900000000000006" customHeight="1">
      <c r="A7" s="9">
        <v>6</v>
      </c>
      <c r="B7" s="12" t="s">
        <v>73</v>
      </c>
      <c r="C7" s="12">
        <v>2</v>
      </c>
      <c r="D7" s="12"/>
      <c r="E7" s="12"/>
    </row>
    <row r="8" spans="1:5" s="9" customFormat="1" ht="67.900000000000006" customHeight="1">
      <c r="A8" s="9">
        <v>7</v>
      </c>
      <c r="B8" s="12" t="s">
        <v>74</v>
      </c>
      <c r="C8" s="12">
        <v>2</v>
      </c>
      <c r="D8" s="12"/>
      <c r="E8" s="12"/>
    </row>
    <row r="9" spans="1:5" s="9" customFormat="1" ht="67.900000000000006" customHeight="1">
      <c r="A9" s="9">
        <v>8</v>
      </c>
      <c r="B9" s="12" t="s">
        <v>75</v>
      </c>
      <c r="C9" s="12">
        <v>2</v>
      </c>
      <c r="D9" s="12"/>
      <c r="E9" s="12"/>
    </row>
    <row r="10" spans="1:5" ht="13.9">
      <c r="A10" s="2"/>
      <c r="B10" s="11" t="s">
        <v>76</v>
      </c>
      <c r="C10" s="7">
        <v>20</v>
      </c>
      <c r="D10" s="7"/>
      <c r="E10" s="11"/>
    </row>
    <row r="11" spans="1:5">
      <c r="B11" s="4"/>
      <c r="E11" s="4"/>
    </row>
    <row r="12" spans="1:5" ht="13.5" customHeight="1">
      <c r="A12" s="30" t="s">
        <v>77</v>
      </c>
      <c r="B12" s="30"/>
      <c r="C12" s="30"/>
      <c r="D12" s="30"/>
      <c r="E12" s="30"/>
    </row>
    <row r="13" spans="1:5" ht="13.5" customHeight="1">
      <c r="A13" s="30"/>
      <c r="B13" s="30"/>
      <c r="C13" s="30"/>
      <c r="D13" s="30"/>
      <c r="E13" s="30"/>
    </row>
  </sheetData>
  <mergeCells count="1">
    <mergeCell ref="A12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opLeftCell="A4" workbookViewId="0">
      <selection activeCell="D8" sqref="D8"/>
    </sheetView>
  </sheetViews>
  <sheetFormatPr baseColWidth="10" defaultColWidth="9" defaultRowHeight="13.5"/>
  <cols>
    <col min="1" max="1" width="7" customWidth="1"/>
    <col min="2" max="2" width="38" customWidth="1"/>
    <col min="3" max="3" width="10" customWidth="1"/>
    <col min="4" max="4" width="72" customWidth="1"/>
    <col min="5" max="5" width="14" customWidth="1"/>
    <col min="6" max="6" width="42" customWidth="1"/>
  </cols>
  <sheetData>
    <row r="1" spans="1:6" ht="13.9">
      <c r="A1" s="3" t="s">
        <v>16</v>
      </c>
      <c r="B1" s="3" t="s">
        <v>24</v>
      </c>
      <c r="C1" s="3" t="s">
        <v>18</v>
      </c>
      <c r="D1" s="3" t="s">
        <v>25</v>
      </c>
      <c r="E1" s="3" t="s">
        <v>20</v>
      </c>
      <c r="F1" s="3" t="s">
        <v>26</v>
      </c>
    </row>
    <row r="2" spans="1:6" s="9" customFormat="1" ht="74.349999999999994" customHeight="1">
      <c r="A2" s="9">
        <v>1</v>
      </c>
      <c r="B2" s="12" t="s">
        <v>78</v>
      </c>
      <c r="C2" s="12">
        <v>5</v>
      </c>
      <c r="D2" s="12" t="s">
        <v>79</v>
      </c>
      <c r="E2" s="12"/>
      <c r="F2" s="12"/>
    </row>
    <row r="3" spans="1:6" s="9" customFormat="1" ht="74.349999999999994" customHeight="1">
      <c r="A3" s="9">
        <v>2</v>
      </c>
      <c r="B3" s="12" t="s">
        <v>80</v>
      </c>
      <c r="C3" s="12">
        <v>4</v>
      </c>
      <c r="D3" s="12" t="s">
        <v>81</v>
      </c>
      <c r="E3" s="12"/>
      <c r="F3" s="12"/>
    </row>
    <row r="4" spans="1:6" s="9" customFormat="1" ht="74.349999999999994" customHeight="1">
      <c r="A4" s="9">
        <v>3</v>
      </c>
      <c r="B4" s="12" t="s">
        <v>82</v>
      </c>
      <c r="C4" s="12">
        <v>3</v>
      </c>
      <c r="D4" s="12" t="s">
        <v>83</v>
      </c>
      <c r="E4" s="12"/>
      <c r="F4" s="12"/>
    </row>
    <row r="5" spans="1:6" s="9" customFormat="1" ht="74.349999999999994" customHeight="1">
      <c r="A5" s="9">
        <v>4</v>
      </c>
      <c r="B5" s="12" t="s">
        <v>84</v>
      </c>
      <c r="C5" s="12">
        <v>4</v>
      </c>
      <c r="D5" s="12" t="s">
        <v>85</v>
      </c>
      <c r="E5" s="12"/>
      <c r="F5" s="12"/>
    </row>
    <row r="6" spans="1:6" s="9" customFormat="1" ht="74.349999999999994" customHeight="1">
      <c r="A6" s="9">
        <v>5</v>
      </c>
      <c r="B6" s="12" t="s">
        <v>86</v>
      </c>
      <c r="C6" s="12">
        <v>4</v>
      </c>
      <c r="D6" s="12" t="s">
        <v>87</v>
      </c>
      <c r="E6" s="12"/>
      <c r="F6" s="12"/>
    </row>
    <row r="7" spans="1:6" s="9" customFormat="1" ht="13.9">
      <c r="A7" s="10"/>
      <c r="B7" s="13" t="s">
        <v>88</v>
      </c>
      <c r="C7" s="13">
        <v>20</v>
      </c>
      <c r="D7" s="13"/>
      <c r="E7" s="10"/>
      <c r="F7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B11" sqref="B11"/>
    </sheetView>
  </sheetViews>
  <sheetFormatPr baseColWidth="10" defaultColWidth="9" defaultRowHeight="13.5"/>
  <cols>
    <col min="1" max="1" width="7" customWidth="1"/>
    <col min="2" max="2" width="75" customWidth="1"/>
    <col min="3" max="4" width="14" customWidth="1"/>
    <col min="5" max="5" width="42" customWidth="1"/>
  </cols>
  <sheetData>
    <row r="1" spans="1:5" ht="13.9">
      <c r="A1" s="3" t="s">
        <v>16</v>
      </c>
      <c r="B1" s="3" t="s">
        <v>27</v>
      </c>
      <c r="C1" s="3" t="s">
        <v>18</v>
      </c>
      <c r="D1" s="3" t="s">
        <v>20</v>
      </c>
      <c r="E1" s="3" t="s">
        <v>26</v>
      </c>
    </row>
    <row r="2" spans="1:5" s="9" customFormat="1" ht="44.75" customHeight="1">
      <c r="A2" s="9">
        <v>1</v>
      </c>
      <c r="B2" s="12" t="s">
        <v>89</v>
      </c>
      <c r="C2" s="12">
        <v>2</v>
      </c>
      <c r="D2" s="12"/>
      <c r="E2" s="12"/>
    </row>
    <row r="3" spans="1:5" s="9" customFormat="1" ht="44.75" customHeight="1">
      <c r="A3" s="9">
        <v>2</v>
      </c>
      <c r="B3" s="12" t="s">
        <v>90</v>
      </c>
      <c r="C3" s="12">
        <v>2</v>
      </c>
      <c r="D3" s="12"/>
      <c r="E3" s="12"/>
    </row>
    <row r="4" spans="1:5" s="9" customFormat="1" ht="44.75" customHeight="1">
      <c r="A4" s="9">
        <v>3</v>
      </c>
      <c r="B4" s="12" t="s">
        <v>91</v>
      </c>
      <c r="C4" s="12">
        <v>1</v>
      </c>
      <c r="D4" s="12"/>
      <c r="E4" s="12"/>
    </row>
    <row r="5" spans="1:5" s="9" customFormat="1" ht="44.75" customHeight="1">
      <c r="A5" s="9">
        <v>4</v>
      </c>
      <c r="B5" s="12" t="s">
        <v>92</v>
      </c>
      <c r="C5" s="14">
        <v>2</v>
      </c>
      <c r="D5" s="14"/>
      <c r="E5" s="12"/>
    </row>
    <row r="6" spans="1:5" s="9" customFormat="1" ht="44.75" customHeight="1">
      <c r="A6" s="10">
        <v>5</v>
      </c>
      <c r="B6" s="13" t="s">
        <v>93</v>
      </c>
      <c r="C6" s="10">
        <v>1</v>
      </c>
      <c r="D6" s="10"/>
      <c r="E6" s="13"/>
    </row>
    <row r="7" spans="1:5" s="9" customFormat="1" ht="44.75" customHeight="1">
      <c r="A7" s="9">
        <v>6</v>
      </c>
      <c r="B7" s="12" t="s">
        <v>94</v>
      </c>
      <c r="C7" s="9">
        <v>2</v>
      </c>
      <c r="E7" s="12"/>
    </row>
    <row r="8" spans="1:5" ht="13.9">
      <c r="A8" s="24"/>
      <c r="B8" s="22" t="s">
        <v>95</v>
      </c>
      <c r="C8" s="25">
        <v>10</v>
      </c>
      <c r="D8" s="25"/>
      <c r="E8" s="26"/>
    </row>
    <row r="9" spans="1:5" ht="13.9">
      <c r="B9" s="16"/>
      <c r="C9" s="16"/>
      <c r="D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opLeftCell="A7" workbookViewId="0">
      <selection activeCell="C9" sqref="C9"/>
    </sheetView>
  </sheetViews>
  <sheetFormatPr baseColWidth="10" defaultColWidth="9" defaultRowHeight="37.9" customHeight="1"/>
  <cols>
    <col min="1" max="1" width="7" style="9" customWidth="1"/>
    <col min="2" max="2" width="70" style="9" customWidth="1"/>
    <col min="3" max="3" width="25" style="9" customWidth="1"/>
    <col min="4" max="4" width="16" style="9" customWidth="1"/>
    <col min="5" max="5" width="42" style="9" customWidth="1"/>
    <col min="6" max="16384" width="9" style="9"/>
  </cols>
  <sheetData>
    <row r="1" spans="1:5" ht="37.9" customHeight="1">
      <c r="A1" s="17" t="s">
        <v>16</v>
      </c>
      <c r="B1" s="17" t="s">
        <v>28</v>
      </c>
      <c r="C1" s="17" t="s">
        <v>29</v>
      </c>
      <c r="D1" s="17" t="s">
        <v>30</v>
      </c>
      <c r="E1" s="17" t="s">
        <v>31</v>
      </c>
    </row>
    <row r="2" spans="1:5" ht="37.9" customHeight="1">
      <c r="A2" s="9">
        <v>1</v>
      </c>
      <c r="B2" s="12" t="s">
        <v>96</v>
      </c>
      <c r="C2" s="12" t="s">
        <v>97</v>
      </c>
      <c r="D2" s="12"/>
      <c r="E2" s="12"/>
    </row>
    <row r="3" spans="1:5" ht="37.9" customHeight="1">
      <c r="A3" s="9">
        <v>2</v>
      </c>
      <c r="B3" s="12" t="s">
        <v>98</v>
      </c>
      <c r="C3" s="12" t="s">
        <v>99</v>
      </c>
      <c r="D3" s="12"/>
      <c r="E3" s="12"/>
    </row>
    <row r="4" spans="1:5" ht="37.9" customHeight="1">
      <c r="A4" s="9">
        <v>3</v>
      </c>
      <c r="B4" s="12" t="s">
        <v>100</v>
      </c>
      <c r="C4" s="12" t="s">
        <v>101</v>
      </c>
      <c r="D4" s="12"/>
      <c r="E4" s="12"/>
    </row>
    <row r="5" spans="1:5" ht="37.9" customHeight="1">
      <c r="A5" s="9">
        <v>4</v>
      </c>
      <c r="B5" s="12" t="s">
        <v>102</v>
      </c>
      <c r="C5" s="12" t="s">
        <v>99</v>
      </c>
      <c r="D5" s="12"/>
      <c r="E5" s="12"/>
    </row>
    <row r="6" spans="1:5" ht="37.9" customHeight="1">
      <c r="A6" s="9">
        <v>5</v>
      </c>
      <c r="B6" s="12" t="s">
        <v>103</v>
      </c>
      <c r="C6" s="12" t="s">
        <v>104</v>
      </c>
      <c r="D6" s="12"/>
      <c r="E6" s="12"/>
    </row>
    <row r="7" spans="1:5" ht="48.75" customHeight="1">
      <c r="A7" s="18"/>
      <c r="B7" s="19" t="s">
        <v>105</v>
      </c>
      <c r="C7" s="19"/>
      <c r="D7" s="18"/>
      <c r="E7" s="19"/>
    </row>
    <row r="8" spans="1:5" ht="18.75" customHeight="1">
      <c r="B8" s="15" t="s">
        <v>106</v>
      </c>
      <c r="C8" s="15"/>
      <c r="D8" s="16"/>
      <c r="E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abSelected="1" workbookViewId="0">
      <selection activeCell="A16" sqref="A16:F20"/>
    </sheetView>
  </sheetViews>
  <sheetFormatPr baseColWidth="10" defaultColWidth="9" defaultRowHeight="13.5"/>
  <cols>
    <col min="1" max="1" width="24" customWidth="1"/>
    <col min="2" max="2" width="18" customWidth="1"/>
    <col min="3" max="3" width="16" customWidth="1"/>
  </cols>
  <sheetData>
    <row r="1" spans="1:6" ht="20.65">
      <c r="A1" s="27" t="s">
        <v>32</v>
      </c>
      <c r="B1" s="27"/>
      <c r="C1" s="27"/>
      <c r="D1" s="27"/>
      <c r="E1" s="27"/>
      <c r="F1" s="27"/>
    </row>
    <row r="3" spans="1:6" ht="13.9">
      <c r="A3" t="s">
        <v>33</v>
      </c>
      <c r="B3" s="20"/>
    </row>
    <row r="6" spans="1:6" ht="13.9">
      <c r="A6" s="1" t="s">
        <v>3</v>
      </c>
      <c r="B6" s="1" t="s">
        <v>34</v>
      </c>
      <c r="C6" s="1" t="s">
        <v>35</v>
      </c>
    </row>
    <row r="7" spans="1:6">
      <c r="A7" t="s">
        <v>36</v>
      </c>
      <c r="B7">
        <v>50</v>
      </c>
      <c r="C7">
        <v>50</v>
      </c>
    </row>
    <row r="8" spans="1:6">
      <c r="A8" t="s">
        <v>37</v>
      </c>
      <c r="B8">
        <v>20</v>
      </c>
      <c r="C8">
        <v>20</v>
      </c>
    </row>
    <row r="9" spans="1:6">
      <c r="A9" t="s">
        <v>38</v>
      </c>
      <c r="B9">
        <v>20</v>
      </c>
      <c r="C9">
        <v>20</v>
      </c>
    </row>
    <row r="10" spans="1:6">
      <c r="A10" t="s">
        <v>39</v>
      </c>
      <c r="B10">
        <v>10</v>
      </c>
      <c r="C10">
        <v>10</v>
      </c>
    </row>
    <row r="11" spans="1:6" ht="13.9">
      <c r="A11" s="2" t="s">
        <v>40</v>
      </c>
      <c r="B11" s="2">
        <v>100</v>
      </c>
      <c r="C11" s="2">
        <f>SUM(C7:C10)</f>
        <v>100</v>
      </c>
    </row>
    <row r="12" spans="1:6" ht="13.9">
      <c r="A12" s="5" t="s">
        <v>41</v>
      </c>
      <c r="B12" s="5"/>
      <c r="C12" s="5">
        <v>0</v>
      </c>
    </row>
    <row r="13" spans="1:6" ht="16.899999999999999">
      <c r="A13" s="6" t="s">
        <v>42</v>
      </c>
      <c r="B13" s="6">
        <v>100</v>
      </c>
      <c r="C13" s="6">
        <f>C11+C12</f>
        <v>100</v>
      </c>
    </row>
    <row r="16" spans="1:6" ht="87.4" customHeight="1">
      <c r="A16" s="28" t="s">
        <v>107</v>
      </c>
      <c r="B16" s="28"/>
      <c r="C16" s="28"/>
      <c r="D16" s="28"/>
      <c r="E16" s="28"/>
      <c r="F16" s="28"/>
    </row>
    <row r="17" spans="1:6">
      <c r="A17" s="28"/>
      <c r="B17" s="28"/>
      <c r="C17" s="28"/>
      <c r="D17" s="28"/>
      <c r="E17" s="28"/>
      <c r="F17" s="28"/>
    </row>
    <row r="18" spans="1:6">
      <c r="A18" s="28"/>
      <c r="B18" s="28"/>
      <c r="C18" s="28"/>
      <c r="D18" s="28"/>
      <c r="E18" s="28"/>
      <c r="F18" s="28"/>
    </row>
    <row r="19" spans="1:6">
      <c r="A19" s="28"/>
      <c r="B19" s="28"/>
      <c r="C19" s="28"/>
      <c r="D19" s="28"/>
      <c r="E19" s="28"/>
      <c r="F19" s="28"/>
    </row>
    <row r="20" spans="1:6">
      <c r="A20" s="28"/>
      <c r="B20" s="28"/>
      <c r="C20" s="28"/>
      <c r="D20" s="28"/>
      <c r="E20" s="28"/>
      <c r="F20" s="28"/>
    </row>
  </sheetData>
  <mergeCells count="2">
    <mergeCell ref="A1:F1"/>
    <mergeCell ref="A16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A - Analyse</vt:lpstr>
      <vt:lpstr>B - Vulnérabilités</vt:lpstr>
      <vt:lpstr>C - Recommandations</vt:lpstr>
      <vt:lpstr>D - Qualité</vt:lpstr>
      <vt:lpstr>Malus</vt:lpstr>
      <vt:lpstr>Grille jury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crop</dc:creator>
  <cp:lastModifiedBy>Fabienne Crop</cp:lastModifiedBy>
  <dcterms:created xsi:type="dcterms:W3CDTF">2026-09-19T08:02:48Z</dcterms:created>
  <dcterms:modified xsi:type="dcterms:W3CDTF">2026-09-20T08:07:00Z</dcterms:modified>
</cp:coreProperties>
</file>